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s\2026\TOTVS-EngenhariaDados e ML\"/>
    </mc:Choice>
  </mc:AlternateContent>
  <xr:revisionPtr revIDLastSave="0" documentId="8_{A70C65F1-EC17-4DB8-8807-F5F3D14FD5C4}" xr6:coauthVersionLast="47" xr6:coauthVersionMax="47" xr10:uidLastSave="{00000000-0000-0000-0000-000000000000}"/>
  <bookViews>
    <workbookView xWindow="-120" yWindow="-120" windowWidth="20730" windowHeight="11160" activeTab="3" xr2:uid="{623A0F83-BF71-4EFA-88E7-EDBF8DFA9D99}"/>
  </bookViews>
  <sheets>
    <sheet name="Assets" sheetId="1" r:id="rId1"/>
    <sheet name="Bases" sheetId="2" r:id="rId2"/>
    <sheet name="Calculo" sheetId="5" r:id="rId3"/>
    <sheet name="Dashboard" sheetId="4" r:id="rId4"/>
  </sheets>
  <definedNames>
    <definedName name="SegmentaçãodeDados_Etapa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2" l="1"/>
  <c r="J22" i="2"/>
  <c r="J21" i="2"/>
  <c r="J20" i="2"/>
  <c r="J19" i="2"/>
  <c r="J18" i="2"/>
  <c r="J17" i="2"/>
  <c r="J16" i="2"/>
  <c r="J15" i="2"/>
  <c r="J14" i="2"/>
  <c r="J13" i="2"/>
  <c r="J12" i="2"/>
  <c r="J9" i="2"/>
  <c r="J5" i="2"/>
  <c r="J11" i="2"/>
  <c r="J10" i="2"/>
  <c r="J8" i="2"/>
  <c r="J7" i="2"/>
  <c r="J6" i="2"/>
  <c r="J4" i="2"/>
  <c r="J3" i="2"/>
  <c r="J2" i="2"/>
  <c r="G7" i="5"/>
  <c r="F7" i="5"/>
</calcChain>
</file>

<file path=xl/sharedStrings.xml><?xml version="1.0" encoding="utf-8"?>
<sst xmlns="http://schemas.openxmlformats.org/spreadsheetml/2006/main" count="127" uniqueCount="32">
  <si>
    <t>Paleta de Cores</t>
  </si>
  <si>
    <t>negative zone</t>
  </si>
  <si>
    <t>Menus</t>
  </si>
  <si>
    <t>Grafico</t>
  </si>
  <si>
    <t>Titulos</t>
  </si>
  <si>
    <t>Logo</t>
  </si>
  <si>
    <t>Esporte</t>
  </si>
  <si>
    <t>Data</t>
  </si>
  <si>
    <t>Total Ingressos</t>
  </si>
  <si>
    <t>Total vendido</t>
  </si>
  <si>
    <t>Local</t>
  </si>
  <si>
    <t>Modalidade</t>
  </si>
  <si>
    <t>Feminino</t>
  </si>
  <si>
    <t>Classificação</t>
  </si>
  <si>
    <t>Etapa</t>
  </si>
  <si>
    <t>Valor Unitário</t>
  </si>
  <si>
    <t>Arrecadação</t>
  </si>
  <si>
    <t>Arena 1</t>
  </si>
  <si>
    <t>Arena 2</t>
  </si>
  <si>
    <t>Hora</t>
  </si>
  <si>
    <t>Semifinal</t>
  </si>
  <si>
    <t>Final</t>
  </si>
  <si>
    <t>Masculino</t>
  </si>
  <si>
    <t>Rótulos de Coluna</t>
  </si>
  <si>
    <t>Rótulos de Linha</t>
  </si>
  <si>
    <t>Total Geral</t>
  </si>
  <si>
    <t>Soma de Arrecadação</t>
  </si>
  <si>
    <t>Total vendido por Arena</t>
  </si>
  <si>
    <t>Total vendido por Sexo</t>
  </si>
  <si>
    <t>FILTRO</t>
  </si>
  <si>
    <t>VENDAS JOGOS VOLEI OLIMPÍADAS</t>
  </si>
  <si>
    <t>Volei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</si>
</sst>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96B2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0" fontId="0" fillId="7" borderId="0" xfId="0" applyFill="1"/>
    <xf numFmtId="0" fontId="3" fillId="7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1" fillId="8" borderId="1" xfId="1" applyFill="1" applyAlignment="1">
      <alignment horizontal="left"/>
    </xf>
  </cellXfs>
  <cellStyles count="2">
    <cellStyle name="Normal" xfId="0" builtinId="0"/>
    <cellStyle name="Título 1" xfId="1" builtinId="16"/>
  </cellStyles>
  <dxfs count="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5" formatCode="hh:mm"/>
    </dxf>
    <dxf>
      <numFmt numFmtId="19" formatCode="dd/mm/yyyy"/>
    </dxf>
  </dxfs>
  <tableStyles count="0" defaultTableStyle="TableStyleMedium2" defaultPivotStyle="PivotStyleLight16"/>
  <colors>
    <mruColors>
      <color rgb="FF196B24"/>
      <color rgb="FF22C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[Vendas.xlsx]Calculo!Tabela dinâmica2</c:name>
    <c:fmtId val="8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Calculo!$B$3:$B$4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Calculo!$A$5:$A$7</c:f>
              <c:strCache>
                <c:ptCount val="2"/>
                <c:pt idx="0">
                  <c:v>Arena 1</c:v>
                </c:pt>
                <c:pt idx="1">
                  <c:v>Arena 2</c:v>
                </c:pt>
              </c:strCache>
            </c:strRef>
          </c:cat>
          <c:val>
            <c:numRef>
              <c:f>Calculo!$B$5:$B$7</c:f>
              <c:numCache>
                <c:formatCode>_("R$"* #,##0.00_);_("R$"* \(#,##0.00\);_("R$"* "-"??_);_(@_)</c:formatCode>
                <c:ptCount val="2"/>
                <c:pt idx="0">
                  <c:v>24344000</c:v>
                </c:pt>
                <c:pt idx="1">
                  <c:v>15750000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0-410D-9D04-905EF3F3D805}"/>
            </c:ext>
          </c:extLst>
        </c:ser>
        <c:ser>
          <c:idx val="1"/>
          <c:order val="1"/>
          <c:tx>
            <c:strRef>
              <c:f>Calculo!$C$3:$C$4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Calculo!$A$5:$A$7</c:f>
              <c:strCache>
                <c:ptCount val="2"/>
                <c:pt idx="0">
                  <c:v>Arena 1</c:v>
                </c:pt>
                <c:pt idx="1">
                  <c:v>Arena 2</c:v>
                </c:pt>
              </c:strCache>
            </c:strRef>
          </c:cat>
          <c:val>
            <c:numRef>
              <c:f>Calculo!$C$5:$C$7</c:f>
              <c:numCache>
                <c:formatCode>_("R$"* #,##0.00_);_("R$"* \(#,##0.00\);_("R$"* "-"??_);_(@_)</c:formatCode>
                <c:ptCount val="2"/>
                <c:pt idx="0">
                  <c:v>18288250</c:v>
                </c:pt>
                <c:pt idx="1">
                  <c:v>11152500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0-410D-9D04-905EF3F3D8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166992664"/>
        <c:axId val="1166990144"/>
      </c:barChart>
      <c:catAx>
        <c:axId val="116699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990144"/>
        <c:crosses val="autoZero"/>
        <c:auto val="1"/>
        <c:lblAlgn val="ctr"/>
        <c:lblOffset val="100"/>
        <c:noMultiLvlLbl val="0"/>
      </c:catAx>
      <c:valAx>
        <c:axId val="1166990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99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35C29622-D381-4664-9F28-417B08F65B70}"/>
            </a:ext>
          </a:extLst>
        </xdr:cNvPr>
        <xdr:cNvSpPr>
          <a:spLocks noChangeAspect="1" noChangeArrowheads="1"/>
        </xdr:cNvSpPr>
      </xdr:nvSpPr>
      <xdr:spPr bwMode="auto">
        <a:xfrm>
          <a:off x="6334125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581025</xdr:colOff>
      <xdr:row>12</xdr:row>
      <xdr:rowOff>19050</xdr:rowOff>
    </xdr:from>
    <xdr:to>
      <xdr:col>11</xdr:col>
      <xdr:colOff>209550</xdr:colOff>
      <xdr:row>13</xdr:row>
      <xdr:rowOff>66675</xdr:rowOff>
    </xdr:to>
    <xdr:pic>
      <xdr:nvPicPr>
        <xdr:cNvPr id="5" name="Gráfico 4" descr="Lupa com preenchimento sólido">
          <a:extLst>
            <a:ext uri="{FF2B5EF4-FFF2-40B4-BE49-F238E27FC236}">
              <a16:creationId xmlns:a16="http://schemas.microsoft.com/office/drawing/2014/main" id="{CD6F0DC4-43E7-4347-8ECE-BD39865BA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180975</xdr:rowOff>
    </xdr:from>
    <xdr:to>
      <xdr:col>2</xdr:col>
      <xdr:colOff>57150</xdr:colOff>
      <xdr:row>27</xdr:row>
      <xdr:rowOff>66675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62CE523-843D-4F7A-8F68-59CEBD2F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11</xdr:row>
      <xdr:rowOff>142875</xdr:rowOff>
    </xdr:from>
    <xdr:to>
      <xdr:col>2</xdr:col>
      <xdr:colOff>580251</xdr:colOff>
      <xdr:row>15</xdr:row>
      <xdr:rowOff>114014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816DA7A-8AD1-EC46-D03B-D301B1A81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1" y="2381250"/>
          <a:ext cx="1494650" cy="742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1</xdr:row>
      <xdr:rowOff>171450</xdr:rowOff>
    </xdr:from>
    <xdr:to>
      <xdr:col>12</xdr:col>
      <xdr:colOff>200025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tapa">
              <a:extLst>
                <a:ext uri="{FF2B5EF4-FFF2-40B4-BE49-F238E27FC236}">
                  <a16:creationId xmlns:a16="http://schemas.microsoft.com/office/drawing/2014/main" id="{C828F707-214F-3FE6-54C0-4ED65FDFF8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p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8775" y="3619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119743</xdr:colOff>
      <xdr:row>3</xdr:row>
      <xdr:rowOff>62593</xdr:rowOff>
    </xdr:from>
    <xdr:to>
      <xdr:col>0</xdr:col>
      <xdr:colOff>1796143</xdr:colOff>
      <xdr:row>17</xdr:row>
      <xdr:rowOff>27214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tapa 1">
              <a:extLst>
                <a:ext uri="{FF2B5EF4-FFF2-40B4-BE49-F238E27FC236}">
                  <a16:creationId xmlns:a16="http://schemas.microsoft.com/office/drawing/2014/main" id="{37979BF0-56FC-48F5-B2C1-69B42EDD41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p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43" y="720684"/>
              <a:ext cx="1676400" cy="26316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164646</xdr:colOff>
      <xdr:row>12</xdr:row>
      <xdr:rowOff>56902</xdr:rowOff>
    </xdr:from>
    <xdr:to>
      <xdr:col>16</xdr:col>
      <xdr:colOff>136072</xdr:colOff>
      <xdr:row>33</xdr:row>
      <xdr:rowOff>179366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86C7BB-5AB2-45EE-8B6C-9609BAFA2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163286</xdr:colOff>
      <xdr:row>4</xdr:row>
      <xdr:rowOff>68036</xdr:rowOff>
    </xdr:from>
    <xdr:to>
      <xdr:col>8</xdr:col>
      <xdr:colOff>353786</xdr:colOff>
      <xdr:row>11</xdr:row>
      <xdr:rowOff>81643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7177CF1-4237-68E4-9238-5157FC078C8B}"/>
            </a:ext>
          </a:extLst>
        </xdr:cNvPr>
        <xdr:cNvSpPr/>
      </xdr:nvSpPr>
      <xdr:spPr>
        <a:xfrm>
          <a:off x="2054679" y="925286"/>
          <a:ext cx="4476750" cy="13471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 baseline="0"/>
            <a:t>ARRECADAÇÃO </a:t>
          </a:r>
          <a:r>
            <a:rPr lang="pt-BR" sz="1400" b="1"/>
            <a:t>FEMININO</a:t>
          </a:r>
        </a:p>
      </xdr:txBody>
    </xdr:sp>
    <xdr:clientData/>
  </xdr:twoCellAnchor>
  <xdr:twoCellAnchor>
    <xdr:from>
      <xdr:col>8</xdr:col>
      <xdr:colOff>547007</xdr:colOff>
      <xdr:row>4</xdr:row>
      <xdr:rowOff>70757</xdr:rowOff>
    </xdr:from>
    <xdr:to>
      <xdr:col>16</xdr:col>
      <xdr:colOff>125186</xdr:colOff>
      <xdr:row>11</xdr:row>
      <xdr:rowOff>84364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DF02425-A206-4005-9AAE-1FA680896C15}"/>
            </a:ext>
          </a:extLst>
        </xdr:cNvPr>
        <xdr:cNvSpPr/>
      </xdr:nvSpPr>
      <xdr:spPr>
        <a:xfrm>
          <a:off x="6724650" y="928007"/>
          <a:ext cx="4476750" cy="13471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ARRECADAÇÃO MASCULINO</a:t>
          </a:r>
        </a:p>
      </xdr:txBody>
    </xdr:sp>
    <xdr:clientData/>
  </xdr:twoCellAnchor>
  <xdr:twoCellAnchor>
    <xdr:from>
      <xdr:col>1</xdr:col>
      <xdr:colOff>353786</xdr:colOff>
      <xdr:row>5</xdr:row>
      <xdr:rowOff>163286</xdr:rowOff>
    </xdr:from>
    <xdr:to>
      <xdr:col>8</xdr:col>
      <xdr:colOff>190500</xdr:colOff>
      <xdr:row>10</xdr:row>
      <xdr:rowOff>54429</xdr:rowOff>
    </xdr:to>
    <xdr:sp macro="" textlink="Calculo!F7">
      <xdr:nvSpPr>
        <xdr:cNvPr id="6" name="Retângulo: Cantos Arredondados 5">
          <a:extLst>
            <a:ext uri="{FF2B5EF4-FFF2-40B4-BE49-F238E27FC236}">
              <a16:creationId xmlns:a16="http://schemas.microsoft.com/office/drawing/2014/main" id="{0DC5CACF-8D33-C273-74EA-B8183EE809F3}"/>
            </a:ext>
          </a:extLst>
        </xdr:cNvPr>
        <xdr:cNvSpPr/>
      </xdr:nvSpPr>
      <xdr:spPr>
        <a:xfrm>
          <a:off x="2245179" y="1211036"/>
          <a:ext cx="4122964" cy="843643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B72E68-28EC-4DB2-BBDD-23CA88AF3F3E}" type="TxLink">
            <a:rPr lang="en-US" sz="2800" b="0" i="0" u="none" strike="noStrike">
              <a:solidFill>
                <a:schemeClr val="accent4">
                  <a:lumMod val="50000"/>
                </a:schemeClr>
              </a:solidFill>
              <a:latin typeface="Aptos Narrow"/>
            </a:rPr>
            <a:pPr algn="ctr"/>
            <a:t> R$ 40.094.000,00 </a:t>
          </a:fld>
          <a:endParaRPr lang="pt-BR" sz="2800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111580</xdr:colOff>
      <xdr:row>5</xdr:row>
      <xdr:rowOff>166007</xdr:rowOff>
    </xdr:from>
    <xdr:to>
      <xdr:col>15</xdr:col>
      <xdr:colOff>560615</xdr:colOff>
      <xdr:row>10</xdr:row>
      <xdr:rowOff>57150</xdr:rowOff>
    </xdr:to>
    <xdr:sp macro="" textlink="Calculo!G7">
      <xdr:nvSpPr>
        <xdr:cNvPr id="7" name="Retângulo: Cantos Arredondados 6">
          <a:extLst>
            <a:ext uri="{FF2B5EF4-FFF2-40B4-BE49-F238E27FC236}">
              <a16:creationId xmlns:a16="http://schemas.microsoft.com/office/drawing/2014/main" id="{323CD362-BD19-44CC-8EEA-D95CF8BE9CF0}"/>
            </a:ext>
          </a:extLst>
        </xdr:cNvPr>
        <xdr:cNvSpPr/>
      </xdr:nvSpPr>
      <xdr:spPr>
        <a:xfrm>
          <a:off x="6901544" y="1213757"/>
          <a:ext cx="4122964" cy="843643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BF3C666-E2A8-4AE5-B3E6-55E9DE782073}" type="TxLink">
            <a:rPr lang="en-US" sz="2800" b="0" i="0" u="none" strike="noStrike">
              <a:solidFill>
                <a:schemeClr val="accent4">
                  <a:lumMod val="50000"/>
                </a:schemeClr>
              </a:solidFill>
              <a:latin typeface="Aptos Narrow"/>
            </a:rPr>
            <a:pPr algn="ctr"/>
            <a:t> R$ 29.440.750,00 </a:t>
          </a:fld>
          <a:endParaRPr lang="pt-BR" sz="6000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13</xdr:col>
      <xdr:colOff>467591</xdr:colOff>
      <xdr:row>0</xdr:row>
      <xdr:rowOff>86591</xdr:rowOff>
    </xdr:from>
    <xdr:to>
      <xdr:col>16</xdr:col>
      <xdr:colOff>143832</xdr:colOff>
      <xdr:row>3</xdr:row>
      <xdr:rowOff>171164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5985537-4838-441E-A461-BFF466E6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8909" y="86591"/>
          <a:ext cx="1494650" cy="7426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Alves Faria" refreshedDate="46166.938682754633" createdVersion="8" refreshedVersion="8" minRefreshableVersion="3" recordCount="22" xr:uid="{3923EEE9-20F4-4B54-8FD3-10125977EB2B}">
  <cacheSource type="worksheet">
    <worksheetSource name="Tabela1"/>
  </cacheSource>
  <cacheFields count="10">
    <cacheField name="Esporte" numFmtId="0">
      <sharedItems/>
    </cacheField>
    <cacheField name="Modalidade" numFmtId="0">
      <sharedItems count="2">
        <s v="Feminino"/>
        <s v="Masculino"/>
      </sharedItems>
    </cacheField>
    <cacheField name="Etapa" numFmtId="0">
      <sharedItems count="3">
        <s v="Classificação"/>
        <s v="Semifinal"/>
        <s v="Final"/>
      </sharedItems>
    </cacheField>
    <cacheField name="Data" numFmtId="14">
      <sharedItems containsSemiMixedTypes="0" containsNonDate="0" containsDate="1" containsString="0" minDate="2025-06-23T00:00:00" maxDate="2026-06-30T00:00:00"/>
    </cacheField>
    <cacheField name="Hora" numFmtId="20">
      <sharedItems containsSemiMixedTypes="0" containsNonDate="0" containsDate="1" containsString="0" minDate="1899-12-30T09:00:00" maxDate="1899-12-30T19:00:00"/>
    </cacheField>
    <cacheField name="Local" numFmtId="0">
      <sharedItems count="2">
        <s v="Arena 1"/>
        <s v="Arena 2"/>
      </sharedItems>
    </cacheField>
    <cacheField name="Total Ingressos" numFmtId="0">
      <sharedItems containsSemiMixedTypes="0" containsString="0" containsNumber="1" containsInteger="1" minValue="28000" maxValue="30000"/>
    </cacheField>
    <cacheField name="Total vendido" numFmtId="0">
      <sharedItems containsSemiMixedTypes="0" containsString="0" containsNumber="1" containsInteger="1" minValue="7500" maxValue="29000"/>
    </cacheField>
    <cacheField name="Valor Unitário" numFmtId="0">
      <sharedItems containsSemiMixedTypes="0" containsString="0" containsNumber="1" containsInteger="1" minValue="150" maxValue="250"/>
    </cacheField>
    <cacheField name="Arrecadação" numFmtId="0">
      <sharedItems containsSemiMixedTypes="0" containsString="0" containsNumber="1" containsInteger="1" minValue="1200000" maxValue="7175000"/>
    </cacheField>
  </cacheFields>
  <extLst>
    <ext xmlns:x14="http://schemas.microsoft.com/office/spreadsheetml/2009/9/main" uri="{725AE2AE-9491-48be-B2B4-4EB974FC3084}">
      <x14:pivotCacheDefinition pivotCacheId="871442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Voley "/>
    <x v="0"/>
    <x v="0"/>
    <d v="2025-06-24T00:00:00"/>
    <d v="1899-12-30T09:00:00"/>
    <x v="0"/>
    <n v="30000"/>
    <n v="20000"/>
    <n v="150"/>
    <n v="3000000"/>
  </r>
  <r>
    <s v="Voley "/>
    <x v="0"/>
    <x v="0"/>
    <d v="2025-06-24T00:00:00"/>
    <d v="1899-12-30T12:00:00"/>
    <x v="0"/>
    <n v="30000"/>
    <n v="21000"/>
    <n v="150"/>
    <n v="3150000"/>
  </r>
  <r>
    <s v="Voley "/>
    <x v="0"/>
    <x v="0"/>
    <d v="2025-06-24T00:00:00"/>
    <d v="1899-12-30T15:00:00"/>
    <x v="0"/>
    <n v="30000"/>
    <n v="19800"/>
    <n v="150"/>
    <n v="2970000"/>
  </r>
  <r>
    <s v="Voley "/>
    <x v="0"/>
    <x v="0"/>
    <d v="2025-06-24T00:00:00"/>
    <d v="1899-12-30T19:00:00"/>
    <x v="0"/>
    <n v="30000"/>
    <n v="29000"/>
    <n v="150"/>
    <n v="4350000"/>
  </r>
  <r>
    <s v="Voley "/>
    <x v="0"/>
    <x v="0"/>
    <d v="2025-06-28T00:00:00"/>
    <d v="1899-12-30T09:00:00"/>
    <x v="1"/>
    <n v="28000"/>
    <n v="26000"/>
    <n v="150"/>
    <n v="3900000"/>
  </r>
  <r>
    <s v="Voley "/>
    <x v="0"/>
    <x v="0"/>
    <d v="2025-06-28T00:00:00"/>
    <d v="1899-12-30T12:00:00"/>
    <x v="1"/>
    <n v="28000"/>
    <n v="23000"/>
    <n v="150"/>
    <n v="3450000"/>
  </r>
  <r>
    <s v="Voley "/>
    <x v="0"/>
    <x v="0"/>
    <d v="2025-06-28T00:00:00"/>
    <d v="1899-12-30T15:00:00"/>
    <x v="1"/>
    <n v="28000"/>
    <n v="16000"/>
    <n v="150"/>
    <n v="2400000"/>
  </r>
  <r>
    <s v="Voley "/>
    <x v="0"/>
    <x v="0"/>
    <d v="2025-06-28T00:00:00"/>
    <d v="1899-12-30T19:00:00"/>
    <x v="1"/>
    <n v="28000"/>
    <n v="22000"/>
    <n v="150"/>
    <n v="3300000"/>
  </r>
  <r>
    <s v="Voley "/>
    <x v="0"/>
    <x v="1"/>
    <d v="2025-06-30T00:00:00"/>
    <d v="1899-12-30T09:00:00"/>
    <x v="0"/>
    <n v="30000"/>
    <n v="20550"/>
    <n v="180"/>
    <n v="3699000"/>
  </r>
  <r>
    <s v="Voley "/>
    <x v="0"/>
    <x v="1"/>
    <d v="2025-06-30T00:00:00"/>
    <d v="1899-12-30T15:00:00"/>
    <x v="1"/>
    <n v="28000"/>
    <n v="15000"/>
    <n v="180"/>
    <n v="2700000"/>
  </r>
  <r>
    <s v="Voley "/>
    <x v="0"/>
    <x v="2"/>
    <d v="2025-07-10T00:00:00"/>
    <d v="1899-12-30T15:00:00"/>
    <x v="0"/>
    <n v="30000"/>
    <n v="28700"/>
    <n v="250"/>
    <n v="7175000"/>
  </r>
  <r>
    <s v="Voley "/>
    <x v="1"/>
    <x v="0"/>
    <d v="2025-06-23T00:00:00"/>
    <d v="1899-12-30T09:00:00"/>
    <x v="0"/>
    <n v="30000"/>
    <n v="21500"/>
    <n v="150"/>
    <n v="3225000"/>
  </r>
  <r>
    <s v="Voley "/>
    <x v="1"/>
    <x v="0"/>
    <d v="2025-06-23T00:00:00"/>
    <d v="1899-12-30T12:00:00"/>
    <x v="0"/>
    <n v="30000"/>
    <n v="18500"/>
    <n v="150"/>
    <n v="2775000"/>
  </r>
  <r>
    <s v="Voley "/>
    <x v="1"/>
    <x v="0"/>
    <d v="2025-06-23T00:00:00"/>
    <d v="1899-12-30T15:00:00"/>
    <x v="0"/>
    <n v="30000"/>
    <n v="20900"/>
    <n v="150"/>
    <n v="3135000"/>
  </r>
  <r>
    <s v="Voley "/>
    <x v="1"/>
    <x v="0"/>
    <d v="2025-06-23T00:00:00"/>
    <d v="1899-12-30T19:00:00"/>
    <x v="0"/>
    <n v="30000"/>
    <n v="24775"/>
    <n v="150"/>
    <n v="3716250"/>
  </r>
  <r>
    <s v="Voley "/>
    <x v="1"/>
    <x v="0"/>
    <d v="2025-06-27T00:00:00"/>
    <d v="1899-12-30T09:00:00"/>
    <x v="1"/>
    <n v="28000"/>
    <n v="20500"/>
    <n v="150"/>
    <n v="3075000"/>
  </r>
  <r>
    <s v="Voley "/>
    <x v="1"/>
    <x v="0"/>
    <d v="2025-06-27T00:00:00"/>
    <d v="1899-12-30T12:00:00"/>
    <x v="1"/>
    <n v="28000"/>
    <n v="25850"/>
    <n v="150"/>
    <n v="3877500"/>
  </r>
  <r>
    <s v="Voley "/>
    <x v="1"/>
    <x v="0"/>
    <d v="2025-06-27T00:00:00"/>
    <d v="1899-12-30T15:00:00"/>
    <x v="1"/>
    <n v="28000"/>
    <n v="8000"/>
    <n v="150"/>
    <n v="1200000"/>
  </r>
  <r>
    <s v="Voley "/>
    <x v="1"/>
    <x v="0"/>
    <d v="2025-06-27T00:00:00"/>
    <d v="1899-12-30T19:00:00"/>
    <x v="1"/>
    <n v="28000"/>
    <n v="11000"/>
    <n v="150"/>
    <n v="1650000"/>
  </r>
  <r>
    <s v="Voley "/>
    <x v="1"/>
    <x v="1"/>
    <d v="2026-06-29T00:00:00"/>
    <d v="1899-12-30T09:00:00"/>
    <x v="0"/>
    <n v="30000"/>
    <n v="10275"/>
    <n v="180"/>
    <n v="1849500"/>
  </r>
  <r>
    <s v="Voley "/>
    <x v="1"/>
    <x v="1"/>
    <d v="2025-06-30T00:00:00"/>
    <d v="1899-12-30T15:00:00"/>
    <x v="1"/>
    <n v="28000"/>
    <n v="7500"/>
    <n v="180"/>
    <n v="1350000"/>
  </r>
  <r>
    <s v="Voley "/>
    <x v="1"/>
    <x v="2"/>
    <d v="2025-07-09T00:00:00"/>
    <d v="1899-12-30T19:00:00"/>
    <x v="0"/>
    <n v="30000"/>
    <n v="14350"/>
    <n v="250"/>
    <n v="358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EB9D4-4586-41E5-A4E4-9CE3638690B9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D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numFmtId="14" showAll="0"/>
    <pivotField numFmtId="20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Arrecadação" fld="9" baseField="0" baseItem="0"/>
  </dataFields>
  <formats count="2">
    <format dxfId="1">
      <pivotArea collapsedLevelsAreSubtotals="1" fieldPosition="0">
        <references count="1">
          <reference field="5" count="0"/>
        </references>
      </pivotArea>
    </format>
    <format dxfId="0">
      <pivotArea grandRow="1" outline="0" collapsedLevelsAreSubtotals="1" fieldPosition="0"/>
    </format>
  </formats>
  <chartFormats count="4">
    <chartFormat chart="8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B53CE-58B6-40B1-8D56-505E56164E9B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D15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numFmtId="14" showAll="0"/>
    <pivotField numFmtId="20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a de Arrecadação" fld="9" baseField="0" baseItem="0"/>
  </dataFields>
  <formats count="2">
    <format dxfId="3">
      <pivotArea collapsedLevelsAreSubtotals="1" fieldPosition="0">
        <references count="1">
          <reference field="1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tapa" xr10:uid="{3E58BF76-BC87-4417-828D-3CBE12BC2C72}" sourceName="Etapa">
  <pivotTables>
    <pivotTable tabId="5" name="Tabela dinâmica2"/>
    <pivotTable tabId="5" name="Tabela dinâmica3"/>
  </pivotTables>
  <data>
    <tabular pivotCacheId="871442183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tapa" xr10:uid="{92B03F23-01A4-46A6-8433-B36E0457162F}" cache="SegmentaçãodeDados_Etapa" caption="Etapa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tapa 1" xr10:uid="{834BDF65-98C6-4FCA-8E94-A27F16EE992D}" cache="SegmentaçãodeDados_Etapa" caption="Etapa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8828B-E737-4691-B5D7-E0C13E6302F5}" name="Tabela1" displayName="Tabela1" ref="A1:J23" totalsRowShown="0">
  <autoFilter ref="A1:J23" xr:uid="{43B8828B-E737-4691-B5D7-E0C13E6302F5}"/>
  <tableColumns count="10">
    <tableColumn id="1" xr3:uid="{CC28CF7F-2593-4E16-BB0C-07E65710D429}" name="Esporte"/>
    <tableColumn id="2" xr3:uid="{288152C7-0E2E-4164-BDD1-5F02E033F28C}" name="Modalidade"/>
    <tableColumn id="3" xr3:uid="{19387D01-4040-4B6A-9E22-AC59EFE78F66}" name="Etapa"/>
    <tableColumn id="4" xr3:uid="{D84EE1A9-B073-4551-A302-E1CFEF24DADE}" name="Data" dataDxfId="5"/>
    <tableColumn id="5" xr3:uid="{0BF17F69-F387-4005-BE82-2138408C9337}" name="Hora" dataDxfId="4"/>
    <tableColumn id="6" xr3:uid="{5DACC306-97B9-4F92-A956-691D0F2D54C4}" name="Local"/>
    <tableColumn id="7" xr3:uid="{672A6276-6D82-4437-AAD7-DDFAD1981134}" name="Total Ingressos"/>
    <tableColumn id="8" xr3:uid="{71C66B76-B7AF-47CC-BE3D-A5846C15C43C}" name="Total vendido"/>
    <tableColumn id="9" xr3:uid="{B11B0244-AC5C-4714-A35B-C71667291B37}" name="Valor Unitário"/>
    <tableColumn id="10" xr3:uid="{03B363B0-F26A-4CB6-BB4F-DA6C2E4836E0}" name="Arrecadação">
      <calculatedColumnFormula>I2*H2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8C49-A970-44EF-8551-D552F1D5767B}">
  <dimension ref="A2:G20"/>
  <sheetViews>
    <sheetView workbookViewId="0">
      <selection activeCell="J18" sqref="J18"/>
    </sheetView>
  </sheetViews>
  <sheetFormatPr defaultRowHeight="15" x14ac:dyDescent="0.25"/>
  <sheetData>
    <row r="2" spans="1:7" ht="20.25" thickBot="1" x14ac:dyDescent="0.35">
      <c r="A2" s="1" t="s">
        <v>0</v>
      </c>
      <c r="B2" s="1"/>
      <c r="C2" s="1"/>
      <c r="D2" s="1"/>
      <c r="E2" s="1"/>
      <c r="F2" s="1"/>
      <c r="G2" s="1"/>
    </row>
    <row r="3" spans="1:7" ht="15.75" thickTop="1" x14ac:dyDescent="0.25"/>
    <row r="4" spans="1:7" x14ac:dyDescent="0.25">
      <c r="A4" s="6"/>
      <c r="B4" t="s">
        <v>4</v>
      </c>
      <c r="D4" s="2"/>
      <c r="E4" t="s">
        <v>1</v>
      </c>
    </row>
    <row r="5" spans="1:7" x14ac:dyDescent="0.25">
      <c r="A5" s="5"/>
      <c r="B5" t="s">
        <v>2</v>
      </c>
    </row>
    <row r="6" spans="1:7" x14ac:dyDescent="0.25">
      <c r="A6" s="4"/>
      <c r="B6" t="s">
        <v>3</v>
      </c>
    </row>
    <row r="7" spans="1:7" x14ac:dyDescent="0.25">
      <c r="A7" s="18"/>
      <c r="B7" t="s">
        <v>3</v>
      </c>
    </row>
    <row r="11" spans="1:7" ht="20.25" thickBot="1" x14ac:dyDescent="0.35">
      <c r="A11" s="1" t="s">
        <v>5</v>
      </c>
      <c r="B11" s="1"/>
      <c r="C11" s="1"/>
      <c r="D11" s="1"/>
      <c r="E11" s="1"/>
      <c r="F11" s="1"/>
      <c r="G11" s="1"/>
    </row>
    <row r="12" spans="1:7" ht="15.75" thickTop="1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0550-CA8E-48F1-BE55-7D7B180DB8CD}">
  <dimension ref="A1:J23"/>
  <sheetViews>
    <sheetView workbookViewId="0">
      <selection activeCell="A3" sqref="A3:A23"/>
    </sheetView>
  </sheetViews>
  <sheetFormatPr defaultRowHeight="15" x14ac:dyDescent="0.25"/>
  <cols>
    <col min="1" max="1" width="9.7109375" customWidth="1"/>
    <col min="2" max="2" width="14.7109375" customWidth="1"/>
    <col min="3" max="3" width="14.85546875" customWidth="1"/>
    <col min="4" max="4" width="10.42578125" bestFit="1" customWidth="1"/>
    <col min="5" max="5" width="10.42578125" customWidth="1"/>
    <col min="6" max="6" width="8" bestFit="1" customWidth="1"/>
    <col min="7" max="7" width="17" bestFit="1" customWidth="1"/>
    <col min="8" max="8" width="15" customWidth="1"/>
    <col min="9" max="9" width="15.5703125" bestFit="1" customWidth="1"/>
    <col min="10" max="10" width="14.28515625" bestFit="1" customWidth="1"/>
  </cols>
  <sheetData>
    <row r="1" spans="1:10" x14ac:dyDescent="0.25">
      <c r="A1" t="s">
        <v>6</v>
      </c>
      <c r="B1" t="s">
        <v>11</v>
      </c>
      <c r="C1" t="s">
        <v>14</v>
      </c>
      <c r="D1" t="s">
        <v>7</v>
      </c>
      <c r="E1" t="s">
        <v>19</v>
      </c>
      <c r="F1" t="s">
        <v>10</v>
      </c>
      <c r="G1" t="s">
        <v>8</v>
      </c>
      <c r="H1" t="s">
        <v>9</v>
      </c>
      <c r="I1" t="s">
        <v>15</v>
      </c>
      <c r="J1" t="s">
        <v>16</v>
      </c>
    </row>
    <row r="2" spans="1:10" x14ac:dyDescent="0.25">
      <c r="A2" t="s">
        <v>31</v>
      </c>
      <c r="B2" t="s">
        <v>12</v>
      </c>
      <c r="C2" t="s">
        <v>13</v>
      </c>
      <c r="D2" s="7">
        <v>45832</v>
      </c>
      <c r="E2" s="8">
        <v>0.375</v>
      </c>
      <c r="F2" t="s">
        <v>17</v>
      </c>
      <c r="G2">
        <v>30000</v>
      </c>
      <c r="H2">
        <v>20000</v>
      </c>
      <c r="I2">
        <v>150</v>
      </c>
      <c r="J2">
        <f t="shared" ref="J2:J23" si="0">I2*H2</f>
        <v>3000000</v>
      </c>
    </row>
    <row r="3" spans="1:10" x14ac:dyDescent="0.25">
      <c r="A3" t="s">
        <v>31</v>
      </c>
      <c r="B3" t="s">
        <v>12</v>
      </c>
      <c r="C3" t="s">
        <v>13</v>
      </c>
      <c r="D3" s="7">
        <v>45832</v>
      </c>
      <c r="E3" s="8">
        <v>0.5</v>
      </c>
      <c r="F3" t="s">
        <v>17</v>
      </c>
      <c r="G3">
        <v>30000</v>
      </c>
      <c r="H3">
        <v>21000</v>
      </c>
      <c r="I3">
        <v>150</v>
      </c>
      <c r="J3">
        <f t="shared" si="0"/>
        <v>3150000</v>
      </c>
    </row>
    <row r="4" spans="1:10" x14ac:dyDescent="0.25">
      <c r="A4" t="s">
        <v>31</v>
      </c>
      <c r="B4" t="s">
        <v>12</v>
      </c>
      <c r="C4" t="s">
        <v>13</v>
      </c>
      <c r="D4" s="7">
        <v>45832</v>
      </c>
      <c r="E4" s="8">
        <v>0.625</v>
      </c>
      <c r="F4" t="s">
        <v>17</v>
      </c>
      <c r="G4">
        <v>30000</v>
      </c>
      <c r="H4">
        <v>19800</v>
      </c>
      <c r="I4">
        <v>150</v>
      </c>
      <c r="J4">
        <f t="shared" si="0"/>
        <v>2970000</v>
      </c>
    </row>
    <row r="5" spans="1:10" x14ac:dyDescent="0.25">
      <c r="A5" t="s">
        <v>31</v>
      </c>
      <c r="B5" t="s">
        <v>12</v>
      </c>
      <c r="C5" t="s">
        <v>13</v>
      </c>
      <c r="D5" s="7">
        <v>45832</v>
      </c>
      <c r="E5" s="8">
        <v>0.79166666666666663</v>
      </c>
      <c r="F5" t="s">
        <v>17</v>
      </c>
      <c r="G5">
        <v>30000</v>
      </c>
      <c r="H5">
        <v>29000</v>
      </c>
      <c r="I5">
        <v>150</v>
      </c>
      <c r="J5">
        <f t="shared" si="0"/>
        <v>4350000</v>
      </c>
    </row>
    <row r="6" spans="1:10" x14ac:dyDescent="0.25">
      <c r="A6" t="s">
        <v>31</v>
      </c>
      <c r="B6" t="s">
        <v>12</v>
      </c>
      <c r="C6" t="s">
        <v>13</v>
      </c>
      <c r="D6" s="7">
        <v>45836</v>
      </c>
      <c r="E6" s="8">
        <v>0.375</v>
      </c>
      <c r="F6" t="s">
        <v>18</v>
      </c>
      <c r="G6">
        <v>28000</v>
      </c>
      <c r="H6">
        <v>26000</v>
      </c>
      <c r="I6">
        <v>150</v>
      </c>
      <c r="J6">
        <f t="shared" si="0"/>
        <v>3900000</v>
      </c>
    </row>
    <row r="7" spans="1:10" x14ac:dyDescent="0.25">
      <c r="A7" t="s">
        <v>31</v>
      </c>
      <c r="B7" t="s">
        <v>12</v>
      </c>
      <c r="C7" t="s">
        <v>13</v>
      </c>
      <c r="D7" s="7">
        <v>45836</v>
      </c>
      <c r="E7" s="8">
        <v>0.5</v>
      </c>
      <c r="F7" t="s">
        <v>18</v>
      </c>
      <c r="G7">
        <v>28000</v>
      </c>
      <c r="H7">
        <v>23000</v>
      </c>
      <c r="I7">
        <v>150</v>
      </c>
      <c r="J7">
        <f t="shared" si="0"/>
        <v>3450000</v>
      </c>
    </row>
    <row r="8" spans="1:10" x14ac:dyDescent="0.25">
      <c r="A8" t="s">
        <v>31</v>
      </c>
      <c r="B8" t="s">
        <v>12</v>
      </c>
      <c r="C8" t="s">
        <v>13</v>
      </c>
      <c r="D8" s="7">
        <v>45836</v>
      </c>
      <c r="E8" s="8">
        <v>0.625</v>
      </c>
      <c r="F8" t="s">
        <v>18</v>
      </c>
      <c r="G8">
        <v>28000</v>
      </c>
      <c r="H8">
        <v>16000</v>
      </c>
      <c r="I8">
        <v>150</v>
      </c>
      <c r="J8">
        <f t="shared" si="0"/>
        <v>2400000</v>
      </c>
    </row>
    <row r="9" spans="1:10" x14ac:dyDescent="0.25">
      <c r="A9" t="s">
        <v>31</v>
      </c>
      <c r="B9" t="s">
        <v>12</v>
      </c>
      <c r="C9" t="s">
        <v>13</v>
      </c>
      <c r="D9" s="7">
        <v>45836</v>
      </c>
      <c r="E9" s="8">
        <v>0.79166666666666663</v>
      </c>
      <c r="F9" t="s">
        <v>18</v>
      </c>
      <c r="G9">
        <v>28000</v>
      </c>
      <c r="H9">
        <v>22000</v>
      </c>
      <c r="I9">
        <v>150</v>
      </c>
      <c r="J9">
        <f t="shared" si="0"/>
        <v>3300000</v>
      </c>
    </row>
    <row r="10" spans="1:10" x14ac:dyDescent="0.25">
      <c r="A10" t="s">
        <v>31</v>
      </c>
      <c r="B10" t="s">
        <v>12</v>
      </c>
      <c r="C10" t="s">
        <v>20</v>
      </c>
      <c r="D10" s="7">
        <v>45838</v>
      </c>
      <c r="E10" s="8">
        <v>0.375</v>
      </c>
      <c r="F10" t="s">
        <v>17</v>
      </c>
      <c r="G10">
        <v>30000</v>
      </c>
      <c r="H10">
        <v>20550</v>
      </c>
      <c r="I10">
        <v>180</v>
      </c>
      <c r="J10">
        <f t="shared" si="0"/>
        <v>3699000</v>
      </c>
    </row>
    <row r="11" spans="1:10" x14ac:dyDescent="0.25">
      <c r="A11" t="s">
        <v>31</v>
      </c>
      <c r="B11" t="s">
        <v>12</v>
      </c>
      <c r="C11" t="s">
        <v>20</v>
      </c>
      <c r="D11" s="7">
        <v>45838</v>
      </c>
      <c r="E11" s="8">
        <v>0.625</v>
      </c>
      <c r="F11" t="s">
        <v>18</v>
      </c>
      <c r="G11">
        <v>28000</v>
      </c>
      <c r="H11">
        <v>15000</v>
      </c>
      <c r="I11">
        <v>180</v>
      </c>
      <c r="J11">
        <f t="shared" si="0"/>
        <v>2700000</v>
      </c>
    </row>
    <row r="12" spans="1:10" x14ac:dyDescent="0.25">
      <c r="A12" t="s">
        <v>31</v>
      </c>
      <c r="B12" t="s">
        <v>12</v>
      </c>
      <c r="C12" t="s">
        <v>21</v>
      </c>
      <c r="D12" s="7">
        <v>45848</v>
      </c>
      <c r="E12" s="8">
        <v>0.625</v>
      </c>
      <c r="F12" t="s">
        <v>17</v>
      </c>
      <c r="G12">
        <v>30000</v>
      </c>
      <c r="H12">
        <v>28700</v>
      </c>
      <c r="I12">
        <v>250</v>
      </c>
      <c r="J12">
        <f t="shared" si="0"/>
        <v>7175000</v>
      </c>
    </row>
    <row r="13" spans="1:10" x14ac:dyDescent="0.25">
      <c r="A13" t="s">
        <v>31</v>
      </c>
      <c r="B13" t="s">
        <v>22</v>
      </c>
      <c r="C13" t="s">
        <v>13</v>
      </c>
      <c r="D13" s="7">
        <v>45831</v>
      </c>
      <c r="E13" s="8">
        <v>0.375</v>
      </c>
      <c r="F13" t="s">
        <v>17</v>
      </c>
      <c r="G13">
        <v>30000</v>
      </c>
      <c r="H13">
        <v>21500</v>
      </c>
      <c r="I13">
        <v>150</v>
      </c>
      <c r="J13">
        <f t="shared" si="0"/>
        <v>3225000</v>
      </c>
    </row>
    <row r="14" spans="1:10" x14ac:dyDescent="0.25">
      <c r="A14" t="s">
        <v>31</v>
      </c>
      <c r="B14" t="s">
        <v>22</v>
      </c>
      <c r="C14" t="s">
        <v>13</v>
      </c>
      <c r="D14" s="7">
        <v>45831</v>
      </c>
      <c r="E14" s="8">
        <v>0.5</v>
      </c>
      <c r="F14" t="s">
        <v>17</v>
      </c>
      <c r="G14">
        <v>30000</v>
      </c>
      <c r="H14">
        <v>18500</v>
      </c>
      <c r="I14">
        <v>150</v>
      </c>
      <c r="J14">
        <f t="shared" si="0"/>
        <v>2775000</v>
      </c>
    </row>
    <row r="15" spans="1:10" x14ac:dyDescent="0.25">
      <c r="A15" t="s">
        <v>31</v>
      </c>
      <c r="B15" t="s">
        <v>22</v>
      </c>
      <c r="C15" t="s">
        <v>13</v>
      </c>
      <c r="D15" s="7">
        <v>45831</v>
      </c>
      <c r="E15" s="8">
        <v>0.625</v>
      </c>
      <c r="F15" t="s">
        <v>17</v>
      </c>
      <c r="G15">
        <v>30000</v>
      </c>
      <c r="H15">
        <v>20900</v>
      </c>
      <c r="I15">
        <v>150</v>
      </c>
      <c r="J15">
        <f t="shared" si="0"/>
        <v>3135000</v>
      </c>
    </row>
    <row r="16" spans="1:10" x14ac:dyDescent="0.25">
      <c r="A16" t="s">
        <v>31</v>
      </c>
      <c r="B16" t="s">
        <v>22</v>
      </c>
      <c r="C16" t="s">
        <v>13</v>
      </c>
      <c r="D16" s="7">
        <v>45831</v>
      </c>
      <c r="E16" s="8">
        <v>0.79166666666666663</v>
      </c>
      <c r="F16" t="s">
        <v>17</v>
      </c>
      <c r="G16">
        <v>30000</v>
      </c>
      <c r="H16">
        <v>24775</v>
      </c>
      <c r="I16">
        <v>150</v>
      </c>
      <c r="J16">
        <f t="shared" si="0"/>
        <v>3716250</v>
      </c>
    </row>
    <row r="17" spans="1:10" x14ac:dyDescent="0.25">
      <c r="A17" t="s">
        <v>31</v>
      </c>
      <c r="B17" t="s">
        <v>22</v>
      </c>
      <c r="C17" t="s">
        <v>13</v>
      </c>
      <c r="D17" s="7">
        <v>45835</v>
      </c>
      <c r="E17" s="8">
        <v>0.375</v>
      </c>
      <c r="F17" t="s">
        <v>18</v>
      </c>
      <c r="G17">
        <v>28000</v>
      </c>
      <c r="H17">
        <v>20500</v>
      </c>
      <c r="I17">
        <v>150</v>
      </c>
      <c r="J17">
        <f t="shared" si="0"/>
        <v>3075000</v>
      </c>
    </row>
    <row r="18" spans="1:10" x14ac:dyDescent="0.25">
      <c r="A18" t="s">
        <v>31</v>
      </c>
      <c r="B18" t="s">
        <v>22</v>
      </c>
      <c r="C18" t="s">
        <v>13</v>
      </c>
      <c r="D18" s="7">
        <v>45835</v>
      </c>
      <c r="E18" s="8">
        <v>0.5</v>
      </c>
      <c r="F18" t="s">
        <v>18</v>
      </c>
      <c r="G18">
        <v>28000</v>
      </c>
      <c r="H18">
        <v>25850</v>
      </c>
      <c r="I18">
        <v>150</v>
      </c>
      <c r="J18">
        <f t="shared" si="0"/>
        <v>3877500</v>
      </c>
    </row>
    <row r="19" spans="1:10" x14ac:dyDescent="0.25">
      <c r="A19" t="s">
        <v>31</v>
      </c>
      <c r="B19" t="s">
        <v>22</v>
      </c>
      <c r="C19" t="s">
        <v>13</v>
      </c>
      <c r="D19" s="7">
        <v>45835</v>
      </c>
      <c r="E19" s="8">
        <v>0.625</v>
      </c>
      <c r="F19" t="s">
        <v>18</v>
      </c>
      <c r="G19">
        <v>28000</v>
      </c>
      <c r="H19">
        <v>8000</v>
      </c>
      <c r="I19">
        <v>150</v>
      </c>
      <c r="J19">
        <f t="shared" si="0"/>
        <v>1200000</v>
      </c>
    </row>
    <row r="20" spans="1:10" x14ac:dyDescent="0.25">
      <c r="A20" t="s">
        <v>31</v>
      </c>
      <c r="B20" t="s">
        <v>22</v>
      </c>
      <c r="C20" t="s">
        <v>13</v>
      </c>
      <c r="D20" s="7">
        <v>45835</v>
      </c>
      <c r="E20" s="8">
        <v>0.79166666666666663</v>
      </c>
      <c r="F20" t="s">
        <v>18</v>
      </c>
      <c r="G20">
        <v>28000</v>
      </c>
      <c r="H20">
        <v>11000</v>
      </c>
      <c r="I20">
        <v>150</v>
      </c>
      <c r="J20">
        <f t="shared" si="0"/>
        <v>1650000</v>
      </c>
    </row>
    <row r="21" spans="1:10" x14ac:dyDescent="0.25">
      <c r="A21" t="s">
        <v>31</v>
      </c>
      <c r="B21" t="s">
        <v>22</v>
      </c>
      <c r="C21" t="s">
        <v>20</v>
      </c>
      <c r="D21" s="7">
        <v>46202</v>
      </c>
      <c r="E21" s="8">
        <v>0.375</v>
      </c>
      <c r="F21" t="s">
        <v>17</v>
      </c>
      <c r="G21">
        <v>30000</v>
      </c>
      <c r="H21">
        <v>10275</v>
      </c>
      <c r="I21">
        <v>180</v>
      </c>
      <c r="J21">
        <f t="shared" si="0"/>
        <v>1849500</v>
      </c>
    </row>
    <row r="22" spans="1:10" x14ac:dyDescent="0.25">
      <c r="A22" t="s">
        <v>31</v>
      </c>
      <c r="B22" t="s">
        <v>22</v>
      </c>
      <c r="C22" t="s">
        <v>20</v>
      </c>
      <c r="D22" s="7">
        <v>45838</v>
      </c>
      <c r="E22" s="8">
        <v>0.625</v>
      </c>
      <c r="F22" t="s">
        <v>18</v>
      </c>
      <c r="G22">
        <v>28000</v>
      </c>
      <c r="H22">
        <v>7500</v>
      </c>
      <c r="I22">
        <v>180</v>
      </c>
      <c r="J22">
        <f t="shared" si="0"/>
        <v>1350000</v>
      </c>
    </row>
    <row r="23" spans="1:10" x14ac:dyDescent="0.25">
      <c r="A23" t="s">
        <v>31</v>
      </c>
      <c r="B23" t="s">
        <v>22</v>
      </c>
      <c r="C23" t="s">
        <v>21</v>
      </c>
      <c r="D23" s="7">
        <v>45847</v>
      </c>
      <c r="E23" s="8">
        <v>0.79166666666666663</v>
      </c>
      <c r="F23" t="s">
        <v>17</v>
      </c>
      <c r="G23">
        <v>30000</v>
      </c>
      <c r="H23">
        <v>14350</v>
      </c>
      <c r="I23">
        <v>250</v>
      </c>
      <c r="J23">
        <f t="shared" si="0"/>
        <v>3587500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64E-DFDD-4565-92B7-01F7FE5A2E81}">
  <dimension ref="A2:H15"/>
  <sheetViews>
    <sheetView workbookViewId="0">
      <selection activeCell="A3" sqref="A3"/>
      <pivotSelection pane="bottomRight" showHeader="1" activeRow="2" previousRow="2" click="2" r:id="rId1">
        <pivotArea type="origin" dataOnly="0" labelOnly="1" outline="0" fieldPosition="0"/>
      </pivotSelection>
    </sheetView>
  </sheetViews>
  <sheetFormatPr defaultRowHeight="15" x14ac:dyDescent="0.25"/>
  <cols>
    <col min="1" max="1" width="20.42578125" bestFit="1" customWidth="1"/>
    <col min="2" max="2" width="20.140625" bestFit="1" customWidth="1"/>
    <col min="3" max="4" width="17" bestFit="1" customWidth="1"/>
    <col min="6" max="7" width="16.85546875" bestFit="1" customWidth="1"/>
  </cols>
  <sheetData>
    <row r="2" spans="1:8" ht="21" x14ac:dyDescent="0.35">
      <c r="A2" s="14" t="s">
        <v>27</v>
      </c>
    </row>
    <row r="3" spans="1:8" x14ac:dyDescent="0.25">
      <c r="A3" s="9" t="s">
        <v>26</v>
      </c>
      <c r="B3" s="9" t="s">
        <v>23</v>
      </c>
    </row>
    <row r="4" spans="1:8" x14ac:dyDescent="0.25">
      <c r="A4" s="9" t="s">
        <v>24</v>
      </c>
      <c r="B4" t="s">
        <v>12</v>
      </c>
      <c r="C4" t="s">
        <v>22</v>
      </c>
      <c r="D4" t="s">
        <v>25</v>
      </c>
    </row>
    <row r="5" spans="1:8" x14ac:dyDescent="0.25">
      <c r="A5" s="10" t="s">
        <v>17</v>
      </c>
      <c r="B5" s="12">
        <v>24344000</v>
      </c>
      <c r="C5" s="12">
        <v>18288250</v>
      </c>
      <c r="D5" s="12">
        <v>42632250</v>
      </c>
    </row>
    <row r="6" spans="1:8" x14ac:dyDescent="0.25">
      <c r="A6" s="10" t="s">
        <v>18</v>
      </c>
      <c r="B6" s="12">
        <v>15750000</v>
      </c>
      <c r="C6" s="12">
        <v>11152500</v>
      </c>
      <c r="D6" s="12">
        <v>26902500</v>
      </c>
    </row>
    <row r="7" spans="1:8" x14ac:dyDescent="0.25">
      <c r="A7" s="10" t="s">
        <v>25</v>
      </c>
      <c r="B7" s="12">
        <v>40094000</v>
      </c>
      <c r="C7" s="12">
        <v>29440750</v>
      </c>
      <c r="D7" s="12">
        <v>69534750</v>
      </c>
      <c r="F7" s="11">
        <f>GETPIVOTDATA("Arrecadação",$A$3,"Modalidade","Feminino")</f>
        <v>40094000</v>
      </c>
      <c r="G7" s="11">
        <f>GETPIVOTDATA("Arrecadação",$A$3,"Modalidade","Masculino")</f>
        <v>29440750</v>
      </c>
      <c r="H7" s="11"/>
    </row>
    <row r="10" spans="1:8" ht="21" x14ac:dyDescent="0.35">
      <c r="A10" s="13" t="s">
        <v>28</v>
      </c>
    </row>
    <row r="11" spans="1:8" x14ac:dyDescent="0.25">
      <c r="A11" s="9" t="s">
        <v>26</v>
      </c>
      <c r="B11" s="9" t="s">
        <v>23</v>
      </c>
    </row>
    <row r="12" spans="1:8" x14ac:dyDescent="0.25">
      <c r="A12" s="9" t="s">
        <v>24</v>
      </c>
      <c r="B12" t="s">
        <v>17</v>
      </c>
      <c r="C12" t="s">
        <v>18</v>
      </c>
      <c r="D12" t="s">
        <v>25</v>
      </c>
    </row>
    <row r="13" spans="1:8" x14ac:dyDescent="0.25">
      <c r="A13" s="10" t="s">
        <v>12</v>
      </c>
      <c r="B13" s="12">
        <v>24344000</v>
      </c>
      <c r="C13" s="12">
        <v>15750000</v>
      </c>
      <c r="D13" s="12">
        <v>40094000</v>
      </c>
    </row>
    <row r="14" spans="1:8" x14ac:dyDescent="0.25">
      <c r="A14" s="10" t="s">
        <v>22</v>
      </c>
      <c r="B14" s="12">
        <v>18288250</v>
      </c>
      <c r="C14" s="12">
        <v>11152500</v>
      </c>
      <c r="D14" s="12">
        <v>29440750</v>
      </c>
    </row>
    <row r="15" spans="1:8" x14ac:dyDescent="0.25">
      <c r="A15" s="10" t="s">
        <v>25</v>
      </c>
      <c r="B15" s="12">
        <v>42632250</v>
      </c>
      <c r="C15" s="12">
        <v>26902500</v>
      </c>
      <c r="D15" s="12">
        <v>69534750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63BB-5615-48C7-8B3E-C0C68F0C4A54}">
  <dimension ref="A2:AJ3"/>
  <sheetViews>
    <sheetView tabSelected="1" zoomScale="55" zoomScaleNormal="55" workbookViewId="0">
      <selection activeCell="G36" sqref="G36"/>
    </sheetView>
  </sheetViews>
  <sheetFormatPr defaultRowHeight="15" x14ac:dyDescent="0.25"/>
  <cols>
    <col min="1" max="1" width="28.28515625" style="15" customWidth="1"/>
    <col min="2" max="36" width="9.140625" style="17"/>
  </cols>
  <sheetData>
    <row r="2" spans="1:12" ht="21" customHeight="1" thickBot="1" x14ac:dyDescent="0.35">
      <c r="A2" s="16" t="s">
        <v>29</v>
      </c>
      <c r="C2" s="19" t="s">
        <v>30</v>
      </c>
      <c r="D2" s="19"/>
      <c r="E2" s="19"/>
      <c r="F2" s="19"/>
      <c r="G2" s="19"/>
      <c r="H2" s="19"/>
      <c r="I2" s="19"/>
      <c r="J2" s="19"/>
      <c r="K2" s="19"/>
      <c r="L2" s="19"/>
    </row>
    <row r="3" spans="1:12" ht="15.75" thickTop="1" x14ac:dyDescent="0.25"/>
  </sheetData>
  <mergeCells count="1">
    <mergeCell ref="C2:L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Calculo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Alves Faria</dc:creator>
  <cp:lastModifiedBy>Luciana Alves Faria</cp:lastModifiedBy>
  <dcterms:created xsi:type="dcterms:W3CDTF">2026-05-25T01:08:48Z</dcterms:created>
  <dcterms:modified xsi:type="dcterms:W3CDTF">2026-05-25T02:15:47Z</dcterms:modified>
</cp:coreProperties>
</file>